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puestas correctas" sheetId="2" state="visible" r:id="rId2"/>
  </sheets>
  <definedNames>
    <definedName name="_xlnm._FilterDatabase" localSheetId="0" hidden="1">'Resultados'!$A$1:$Y$6</definedName>
    <definedName name="_xlnm._FilterDatabase" localSheetId="1" hidden="1">'Respuestas correctas'!$A$1:$Q$4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1" customWidth="1" min="4" max="4"/>
    <col width="36" customWidth="1" min="5" max="5"/>
    <col width="7" customWidth="1" min="6" max="6"/>
    <col width="19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45" customWidth="1" min="24" max="24"/>
    <col width="45" customWidth="1" min="25" max="25"/>
  </cols>
  <sheetData>
    <row r="1">
      <c r="A1" s="1" t="inlineStr">
        <is>
          <t>Página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Documento detectado</t>
        </is>
      </c>
      <c r="E1" s="1" t="inlineStr">
        <is>
          <t>Institución</t>
        </is>
      </c>
      <c r="F1" s="1" t="inlineStr">
        <is>
          <t>Grado</t>
        </is>
      </c>
      <c r="G1" s="1" t="inlineStr">
        <is>
          <t>Versión detectada</t>
        </is>
      </c>
      <c r="H1" s="1" t="inlineStr">
        <is>
          <t>P1</t>
        </is>
      </c>
      <c r="I1" s="1" t="inlineStr">
        <is>
          <t>P2</t>
        </is>
      </c>
      <c r="J1" s="1" t="inlineStr">
        <is>
          <t>P3</t>
        </is>
      </c>
      <c r="K1" s="1" t="inlineStr">
        <is>
          <t>P4</t>
        </is>
      </c>
      <c r="L1" s="1" t="inlineStr">
        <is>
          <t>P5</t>
        </is>
      </c>
      <c r="M1" s="1" t="inlineStr">
        <is>
          <t>P6</t>
        </is>
      </c>
      <c r="N1" s="1" t="inlineStr">
        <is>
          <t>P7</t>
        </is>
      </c>
      <c r="O1" s="1" t="inlineStr">
        <is>
          <t>P8</t>
        </is>
      </c>
      <c r="P1" s="1" t="inlineStr">
        <is>
          <t>P9</t>
        </is>
      </c>
      <c r="Q1" s="1" t="inlineStr">
        <is>
          <t>P10</t>
        </is>
      </c>
      <c r="R1" s="1" t="inlineStr">
        <is>
          <t>P11</t>
        </is>
      </c>
      <c r="S1" s="1" t="inlineStr">
        <is>
          <t>P12</t>
        </is>
      </c>
      <c r="T1" s="1" t="inlineStr">
        <is>
          <t>P13</t>
        </is>
      </c>
      <c r="U1" s="1" t="inlineStr">
        <is>
          <t>P14</t>
        </is>
      </c>
      <c r="V1" s="1" t="inlineStr">
        <is>
          <t>P15</t>
        </is>
      </c>
      <c r="W1" s="1" t="inlineStr">
        <is>
          <t>P16</t>
        </is>
      </c>
      <c r="X1" s="1" t="inlineStr">
        <is>
          <t>Puntaje</t>
        </is>
      </c>
      <c r="Y1" s="1" t="inlineStr">
        <is>
          <t>Campos a revisar</t>
        </is>
      </c>
    </row>
    <row r="2">
      <c r="A2" s="2" t="n">
        <v>1</v>
      </c>
      <c r="B2" s="3" t="inlineStr">
        <is>
          <t>Cincly yulieth</t>
        </is>
      </c>
      <c r="C2" s="3" t="inlineStr">
        <is>
          <t>valencia sosa</t>
        </is>
      </c>
      <c r="D2" s="2" t="inlineStr">
        <is>
          <t>1021928643</t>
        </is>
      </c>
      <c r="E2" s="3" t="inlineStr">
        <is>
          <t>Colegio El Rosario</t>
        </is>
      </c>
      <c r="F2" s="2" t="inlineStr"/>
      <c r="G2" s="2" t="inlineStr">
        <is>
          <t>B</t>
        </is>
      </c>
      <c r="H2" s="2" t="inlineStr">
        <is>
          <t>7</t>
        </is>
      </c>
      <c r="I2" s="2" t="inlineStr">
        <is>
          <t>6</t>
        </is>
      </c>
      <c r="J2" s="2" t="inlineStr">
        <is>
          <t>7500</t>
        </is>
      </c>
      <c r="K2" s="2" t="inlineStr">
        <is>
          <t>63</t>
        </is>
      </c>
      <c r="L2" s="2" t="inlineStr">
        <is>
          <t>d</t>
        </is>
      </c>
      <c r="M2" s="2" t="inlineStr">
        <is>
          <t>c</t>
        </is>
      </c>
      <c r="N2" s="2" t="inlineStr">
        <is>
          <t>a</t>
        </is>
      </c>
      <c r="O2" s="2" t="inlineStr">
        <is>
          <t>b</t>
        </is>
      </c>
      <c r="P2" s="4" t="inlineStr">
        <is>
          <t>a</t>
        </is>
      </c>
      <c r="Q2" s="2" t="inlineStr">
        <is>
          <t>d</t>
        </is>
      </c>
      <c r="R2" s="2" t="inlineStr">
        <is>
          <t>a</t>
        </is>
      </c>
      <c r="S2" s="2" t="inlineStr">
        <is>
          <t>b</t>
        </is>
      </c>
      <c r="T2" s="4" t="inlineStr">
        <is>
          <t>d</t>
        </is>
      </c>
      <c r="U2" s="2" t="inlineStr">
        <is>
          <t>a</t>
        </is>
      </c>
      <c r="V2" s="2" t="inlineStr">
        <is>
          <t>c</t>
        </is>
      </c>
      <c r="W2" s="4" t="inlineStr">
        <is>
          <t>d</t>
        </is>
      </c>
      <c r="X2" s="5">
        <f>IF(IFERROR((H2&amp;"")=(VLOOKUP($G2,'Respuestas correctas'!$A:$Q,2,FALSE)&amp;""),FALSE),10,0)+IF(IFERROR((I2&amp;"")=(VLOOKUP($G2,'Respuestas correctas'!$A:$Q,3,FALSE)&amp;""),FALSE),10,0)+IF(IFERROR((J2&amp;"")=(VLOOKUP($G2,'Respuestas correctas'!$A:$Q,4,FALSE)&amp;""),FALSE),10,0)+IF(IFERROR((K2&amp;"")=(VLOOKUP($G2,'Respuestas correctas'!$A:$Q,5,FALSE)&amp;""),FALSE),10,0)+IF(IFERROR((L2&amp;"")=(VLOOKUP($G2,'Respuestas correctas'!$A:$Q,6,FALSE)&amp;""),FALSE),5,0)+IF(IFERROR((M2&amp;"")=(VLOOKUP($G2,'Respuestas correctas'!$A:$Q,7,FALSE)&amp;""),FALSE),5,0)+IF(IFERROR((N2&amp;"")=(VLOOKUP($G2,'Respuestas correctas'!$A:$Q,8,FALSE)&amp;""),FALSE),5,0)+IF(IFERROR((O2&amp;"")=(VLOOKUP($G2,'Respuestas correctas'!$A:$Q,9,FALSE)&amp;""),FALSE),5,0)+IF(IFERROR((P2&amp;"")=(VLOOKUP($G2,'Respuestas correctas'!$A:$Q,10,FALSE)&amp;""),FALSE),5,0)+IF(IFERROR((Q2&amp;"")=(VLOOKUP($G2,'Respuestas correctas'!$A:$Q,11,FALSE)&amp;""),FALSE),5,0)+IF(IFERROR((R2&amp;"")=(VLOOKUP($G2,'Respuestas correctas'!$A:$Q,12,FALSE)&amp;""),FALSE),5,0)+IF(IFERROR((S2&amp;"")=(VLOOKUP($G2,'Respuestas correctas'!$A:$Q,13,FALSE)&amp;""),FALSE),5,0)+IF(IFERROR((T2&amp;"")=(VLOOKUP($G2,'Respuestas correctas'!$A:$Q,14,FALSE)&amp;""),FALSE),5,0)+IF(IFERROR((U2&amp;"")=(VLOOKUP($G2,'Respuestas correctas'!$A:$Q,15,FALSE)&amp;""),FALSE),5,0)+IF(IFERROR((V2&amp;"")=(VLOOKUP($G2,'Respuestas correctas'!$A:$Q,16,FALSE)&amp;""),FALSE),5,0)+IF(IFERROR((W2&amp;"")=(VLOOKUP($G2,'Respuestas correctas'!$A:$Q,17,FALSE)&amp;""),FALSE),5,0)</f>
        <v/>
      </c>
      <c r="Y2" s="3" t="inlineStr">
        <is>
          <t>P9, P13, P16</t>
        </is>
      </c>
    </row>
    <row r="3">
      <c r="A3" s="2" t="n">
        <v>2</v>
      </c>
      <c r="B3" s="3" t="inlineStr">
        <is>
          <t>Sara Juliana</t>
        </is>
      </c>
      <c r="C3" s="3" t="inlineStr">
        <is>
          <t>Pérez Berrio</t>
        </is>
      </c>
      <c r="D3" s="2" t="inlineStr">
        <is>
          <t>1018245604</t>
        </is>
      </c>
      <c r="E3" s="3" t="inlineStr">
        <is>
          <t>Colegio El Rosario</t>
        </is>
      </c>
      <c r="F3" s="2" t="inlineStr"/>
      <c r="G3" s="2" t="inlineStr">
        <is>
          <t>C</t>
        </is>
      </c>
      <c r="H3" s="2" t="inlineStr">
        <is>
          <t>2</t>
        </is>
      </c>
      <c r="I3" s="2" t="inlineStr">
        <is>
          <t>10</t>
        </is>
      </c>
      <c r="J3" s="2" t="inlineStr">
        <is>
          <t>4</t>
        </is>
      </c>
      <c r="K3" s="2" t="inlineStr">
        <is>
          <t>20</t>
        </is>
      </c>
      <c r="L3" s="2" t="inlineStr">
        <is>
          <t>a</t>
        </is>
      </c>
      <c r="M3" s="4" t="inlineStr">
        <is>
          <t>d</t>
        </is>
      </c>
      <c r="N3" s="4" t="inlineStr">
        <is>
          <t>b</t>
        </is>
      </c>
      <c r="O3" s="4" t="inlineStr">
        <is>
          <t>c</t>
        </is>
      </c>
      <c r="P3" s="4" t="inlineStr">
        <is>
          <t>a</t>
        </is>
      </c>
      <c r="Q3" s="2" t="inlineStr">
        <is>
          <t>a</t>
        </is>
      </c>
      <c r="R3" s="4" t="inlineStr">
        <is>
          <t>a</t>
        </is>
      </c>
      <c r="S3" s="4" t="inlineStr">
        <is>
          <t>a</t>
        </is>
      </c>
      <c r="T3" s="4" t="inlineStr">
        <is>
          <t>b</t>
        </is>
      </c>
      <c r="U3" s="4" t="inlineStr">
        <is>
          <t>a</t>
        </is>
      </c>
      <c r="V3" s="4" t="inlineStr">
        <is>
          <t>a</t>
        </is>
      </c>
      <c r="W3" s="4" t="inlineStr">
        <is>
          <t>a</t>
        </is>
      </c>
      <c r="X3" s="5">
        <f>IF(IFERROR((H3&amp;"")=(VLOOKUP($G3,'Respuestas correctas'!$A:$Q,2,FALSE)&amp;""),FALSE),10,0)+IF(IFERROR((I3&amp;"")=(VLOOKUP($G3,'Respuestas correctas'!$A:$Q,3,FALSE)&amp;""),FALSE),10,0)+IF(IFERROR((J3&amp;"")=(VLOOKUP($G3,'Respuestas correctas'!$A:$Q,4,FALSE)&amp;""),FALSE),10,0)+IF(IFERROR((K3&amp;"")=(VLOOKUP($G3,'Respuestas correctas'!$A:$Q,5,FALSE)&amp;""),FALSE),10,0)+IF(IFERROR((L3&amp;"")=(VLOOKUP($G3,'Respuestas correctas'!$A:$Q,6,FALSE)&amp;""),FALSE),5,0)+IF(IFERROR((M3&amp;"")=(VLOOKUP($G3,'Respuestas correctas'!$A:$Q,7,FALSE)&amp;""),FALSE),5,0)+IF(IFERROR((N3&amp;"")=(VLOOKUP($G3,'Respuestas correctas'!$A:$Q,8,FALSE)&amp;""),FALSE),5,0)+IF(IFERROR((O3&amp;"")=(VLOOKUP($G3,'Respuestas correctas'!$A:$Q,9,FALSE)&amp;""),FALSE),5,0)+IF(IFERROR((P3&amp;"")=(VLOOKUP($G3,'Respuestas correctas'!$A:$Q,10,FALSE)&amp;""),FALSE),5,0)+IF(IFERROR((Q3&amp;"")=(VLOOKUP($G3,'Respuestas correctas'!$A:$Q,11,FALSE)&amp;""),FALSE),5,0)+IF(IFERROR((R3&amp;"")=(VLOOKUP($G3,'Respuestas correctas'!$A:$Q,12,FALSE)&amp;""),FALSE),5,0)+IF(IFERROR((S3&amp;"")=(VLOOKUP($G3,'Respuestas correctas'!$A:$Q,13,FALSE)&amp;""),FALSE),5,0)+IF(IFERROR((T3&amp;"")=(VLOOKUP($G3,'Respuestas correctas'!$A:$Q,14,FALSE)&amp;""),FALSE),5,0)+IF(IFERROR((U3&amp;"")=(VLOOKUP($G3,'Respuestas correctas'!$A:$Q,15,FALSE)&amp;""),FALSE),5,0)+IF(IFERROR((V3&amp;"")=(VLOOKUP($G3,'Respuestas correctas'!$A:$Q,16,FALSE)&amp;""),FALSE),5,0)+IF(IFERROR((W3&amp;"")=(VLOOKUP($G3,'Respuestas correctas'!$A:$Q,17,FALSE)&amp;""),FALSE),5,0)</f>
        <v/>
      </c>
      <c r="Y3" s="3" t="inlineStr">
        <is>
          <t>P6, P7, P8, P9, P11, P12, P13, P14, P15, P16</t>
        </is>
      </c>
    </row>
    <row r="4">
      <c r="A4" s="2" t="n">
        <v>3</v>
      </c>
      <c r="B4" s="3" t="inlineStr">
        <is>
          <t>Samantha</t>
        </is>
      </c>
      <c r="C4" s="3" t="inlineStr">
        <is>
          <t>Susalb Higuita</t>
        </is>
      </c>
      <c r="D4" s="2" t="inlineStr">
        <is>
          <t>1013359268</t>
        </is>
      </c>
      <c r="E4" s="3" t="inlineStr">
        <is>
          <t>Colegio El Rosario</t>
        </is>
      </c>
      <c r="F4" s="2" t="inlineStr"/>
      <c r="G4" s="2" t="inlineStr">
        <is>
          <t>A</t>
        </is>
      </c>
      <c r="H4" s="2" t="inlineStr">
        <is>
          <t>1230</t>
        </is>
      </c>
      <c r="I4" s="2" t="inlineStr">
        <is>
          <t>10</t>
        </is>
      </c>
      <c r="J4" s="2" t="inlineStr">
        <is>
          <t>231</t>
        </is>
      </c>
      <c r="K4" s="2" t="inlineStr">
        <is>
          <t>95</t>
        </is>
      </c>
      <c r="L4" s="2" t="inlineStr">
        <is>
          <t>c</t>
        </is>
      </c>
      <c r="M4" s="2" t="inlineStr">
        <is>
          <t>a</t>
        </is>
      </c>
      <c r="N4" s="2" t="inlineStr">
        <is>
          <t>d</t>
        </is>
      </c>
      <c r="O4" s="2" t="inlineStr">
        <is>
          <t>b</t>
        </is>
      </c>
      <c r="P4" s="2" t="inlineStr">
        <is>
          <t>a</t>
        </is>
      </c>
      <c r="Q4" s="2" t="inlineStr">
        <is>
          <t>b</t>
        </is>
      </c>
      <c r="R4" s="2" t="inlineStr">
        <is>
          <t>b</t>
        </is>
      </c>
      <c r="S4" s="2" t="inlineStr">
        <is>
          <t>c</t>
        </is>
      </c>
      <c r="T4" s="2" t="inlineStr">
        <is>
          <t>a</t>
        </is>
      </c>
      <c r="U4" s="2" t="inlineStr">
        <is>
          <t>b</t>
        </is>
      </c>
      <c r="V4" s="2" t="inlineStr">
        <is>
          <t>c</t>
        </is>
      </c>
      <c r="W4" s="2" t="inlineStr">
        <is>
          <t>a</t>
        </is>
      </c>
      <c r="X4" s="5">
        <f>IF(IFERROR((H4&amp;"")=(VLOOKUP($G4,'Respuestas correctas'!$A:$Q,2,FALSE)&amp;""),FALSE),10,0)+IF(IFERROR((I4&amp;"")=(VLOOKUP($G4,'Respuestas correctas'!$A:$Q,3,FALSE)&amp;""),FALSE),10,0)+IF(IFERROR((J4&amp;"")=(VLOOKUP($G4,'Respuestas correctas'!$A:$Q,4,FALSE)&amp;""),FALSE),10,0)+IF(IFERROR((K4&amp;"")=(VLOOKUP($G4,'Respuestas correctas'!$A:$Q,5,FALSE)&amp;""),FALSE),10,0)+IF(IFERROR((L4&amp;"")=(VLOOKUP($G4,'Respuestas correctas'!$A:$Q,6,FALSE)&amp;""),FALSE),5,0)+IF(IFERROR((M4&amp;"")=(VLOOKUP($G4,'Respuestas correctas'!$A:$Q,7,FALSE)&amp;""),FALSE),5,0)+IF(IFERROR((N4&amp;"")=(VLOOKUP($G4,'Respuestas correctas'!$A:$Q,8,FALSE)&amp;""),FALSE),5,0)+IF(IFERROR((O4&amp;"")=(VLOOKUP($G4,'Respuestas correctas'!$A:$Q,9,FALSE)&amp;""),FALSE),5,0)+IF(IFERROR((P4&amp;"")=(VLOOKUP($G4,'Respuestas correctas'!$A:$Q,10,FALSE)&amp;""),FALSE),5,0)+IF(IFERROR((Q4&amp;"")=(VLOOKUP($G4,'Respuestas correctas'!$A:$Q,11,FALSE)&amp;""),FALSE),5,0)+IF(IFERROR((R4&amp;"")=(VLOOKUP($G4,'Respuestas correctas'!$A:$Q,12,FALSE)&amp;""),FALSE),5,0)+IF(IFERROR((S4&amp;"")=(VLOOKUP($G4,'Respuestas correctas'!$A:$Q,13,FALSE)&amp;""),FALSE),5,0)+IF(IFERROR((T4&amp;"")=(VLOOKUP($G4,'Respuestas correctas'!$A:$Q,14,FALSE)&amp;""),FALSE),5,0)+IF(IFERROR((U4&amp;"")=(VLOOKUP($G4,'Respuestas correctas'!$A:$Q,15,FALSE)&amp;""),FALSE),5,0)+IF(IFERROR((V4&amp;"")=(VLOOKUP($G4,'Respuestas correctas'!$A:$Q,16,FALSE)&amp;""),FALSE),5,0)+IF(IFERROR((W4&amp;"")=(VLOOKUP($G4,'Respuestas correctas'!$A:$Q,17,FALSE)&amp;""),FALSE),5,0)</f>
        <v/>
      </c>
      <c r="Y4" s="3" t="inlineStr">
        <is>
          <t>-</t>
        </is>
      </c>
    </row>
    <row r="5">
      <c r="A5" s="2" t="n">
        <v>4</v>
      </c>
      <c r="B5" s="3" t="inlineStr">
        <is>
          <t>Sofia</t>
        </is>
      </c>
      <c r="C5" s="3" t="inlineStr">
        <is>
          <t>Méndez Martínez</t>
        </is>
      </c>
      <c r="D5" s="2" t="inlineStr">
        <is>
          <t>1020305566</t>
        </is>
      </c>
      <c r="E5" s="3" t="inlineStr">
        <is>
          <t>Colegio El Rosario</t>
        </is>
      </c>
      <c r="F5" s="2" t="inlineStr"/>
      <c r="G5" s="2" t="inlineStr">
        <is>
          <t>C</t>
        </is>
      </c>
      <c r="H5" s="2" t="inlineStr">
        <is>
          <t>10</t>
        </is>
      </c>
      <c r="I5" s="2" t="inlineStr">
        <is>
          <t>10</t>
        </is>
      </c>
      <c r="J5" s="2" t="inlineStr">
        <is>
          <t>9</t>
        </is>
      </c>
      <c r="K5" s="2" t="inlineStr">
        <is>
          <t>20</t>
        </is>
      </c>
      <c r="L5" s="2" t="inlineStr">
        <is>
          <t>c</t>
        </is>
      </c>
      <c r="M5" s="2" t="inlineStr">
        <is>
          <t>d</t>
        </is>
      </c>
      <c r="N5" s="2" t="inlineStr">
        <is>
          <t>b</t>
        </is>
      </c>
      <c r="O5" s="2" t="inlineStr">
        <is>
          <t>a</t>
        </is>
      </c>
      <c r="P5" s="2" t="inlineStr">
        <is>
          <t>d</t>
        </is>
      </c>
      <c r="Q5" s="2" t="inlineStr">
        <is>
          <t>c</t>
        </is>
      </c>
      <c r="R5" s="2" t="inlineStr">
        <is>
          <t>a</t>
        </is>
      </c>
      <c r="S5" s="2" t="inlineStr">
        <is>
          <t>b</t>
        </is>
      </c>
      <c r="T5" s="2" t="inlineStr">
        <is>
          <t>d</t>
        </is>
      </c>
      <c r="U5" s="4" t="inlineStr">
        <is>
          <t>d</t>
        </is>
      </c>
      <c r="V5" s="2" t="inlineStr">
        <is>
          <t>a</t>
        </is>
      </c>
      <c r="W5" s="4" t="inlineStr">
        <is>
          <t>c</t>
        </is>
      </c>
      <c r="X5" s="5">
        <f>IF(IFERROR((H5&amp;"")=(VLOOKUP($G5,'Respuestas correctas'!$A:$Q,2,FALSE)&amp;""),FALSE),10,0)+IF(IFERROR((I5&amp;"")=(VLOOKUP($G5,'Respuestas correctas'!$A:$Q,3,FALSE)&amp;""),FALSE),10,0)+IF(IFERROR((J5&amp;"")=(VLOOKUP($G5,'Respuestas correctas'!$A:$Q,4,FALSE)&amp;""),FALSE),10,0)+IF(IFERROR((K5&amp;"")=(VLOOKUP($G5,'Respuestas correctas'!$A:$Q,5,FALSE)&amp;""),FALSE),10,0)+IF(IFERROR((L5&amp;"")=(VLOOKUP($G5,'Respuestas correctas'!$A:$Q,6,FALSE)&amp;""),FALSE),5,0)+IF(IFERROR((M5&amp;"")=(VLOOKUP($G5,'Respuestas correctas'!$A:$Q,7,FALSE)&amp;""),FALSE),5,0)+IF(IFERROR((N5&amp;"")=(VLOOKUP($G5,'Respuestas correctas'!$A:$Q,8,FALSE)&amp;""),FALSE),5,0)+IF(IFERROR((O5&amp;"")=(VLOOKUP($G5,'Respuestas correctas'!$A:$Q,9,FALSE)&amp;""),FALSE),5,0)+IF(IFERROR((P5&amp;"")=(VLOOKUP($G5,'Respuestas correctas'!$A:$Q,10,FALSE)&amp;""),FALSE),5,0)+IF(IFERROR((Q5&amp;"")=(VLOOKUP($G5,'Respuestas correctas'!$A:$Q,11,FALSE)&amp;""),FALSE),5,0)+IF(IFERROR((R5&amp;"")=(VLOOKUP($G5,'Respuestas correctas'!$A:$Q,12,FALSE)&amp;""),FALSE),5,0)+IF(IFERROR((S5&amp;"")=(VLOOKUP($G5,'Respuestas correctas'!$A:$Q,13,FALSE)&amp;""),FALSE),5,0)+IF(IFERROR((T5&amp;"")=(VLOOKUP($G5,'Respuestas correctas'!$A:$Q,14,FALSE)&amp;""),FALSE),5,0)+IF(IFERROR((U5&amp;"")=(VLOOKUP($G5,'Respuestas correctas'!$A:$Q,15,FALSE)&amp;""),FALSE),5,0)+IF(IFERROR((V5&amp;"")=(VLOOKUP($G5,'Respuestas correctas'!$A:$Q,16,FALSE)&amp;""),FALSE),5,0)+IF(IFERROR((W5&amp;"")=(VLOOKUP($G5,'Respuestas correctas'!$A:$Q,17,FALSE)&amp;""),FALSE),5,0)</f>
        <v/>
      </c>
      <c r="Y5" s="3" t="inlineStr">
        <is>
          <t>P14, P16</t>
        </is>
      </c>
    </row>
    <row r="6">
      <c r="A6" s="2" t="n">
        <v>5</v>
      </c>
      <c r="B6" s="3" t="inlineStr">
        <is>
          <t>laora</t>
        </is>
      </c>
      <c r="C6" s="3" t="inlineStr">
        <is>
          <t>Cardona Arroqque</t>
        </is>
      </c>
      <c r="D6" s="2" t="inlineStr">
        <is>
          <t>1034005145</t>
        </is>
      </c>
      <c r="E6" s="3" t="inlineStr">
        <is>
          <t>Colegio Nuestra Señora del Rosario</t>
        </is>
      </c>
      <c r="F6" s="2" t="inlineStr"/>
      <c r="G6" s="2" t="inlineStr">
        <is>
          <t>A</t>
        </is>
      </c>
      <c r="H6" s="2" t="inlineStr">
        <is>
          <t>10</t>
        </is>
      </c>
      <c r="I6" s="2" t="inlineStr">
        <is>
          <t>10</t>
        </is>
      </c>
      <c r="J6" s="2" t="inlineStr">
        <is>
          <t>180</t>
        </is>
      </c>
      <c r="K6" s="2" t="inlineStr">
        <is>
          <t>20</t>
        </is>
      </c>
      <c r="L6" s="2" t="inlineStr">
        <is>
          <t>d</t>
        </is>
      </c>
      <c r="M6" s="2" t="inlineStr">
        <is>
          <t>b</t>
        </is>
      </c>
      <c r="N6" s="2" t="inlineStr">
        <is>
          <t>c</t>
        </is>
      </c>
      <c r="O6" s="2" t="inlineStr">
        <is>
          <t>b</t>
        </is>
      </c>
      <c r="P6" s="2" t="inlineStr">
        <is>
          <t>a</t>
        </is>
      </c>
      <c r="Q6" s="2" t="inlineStr">
        <is>
          <t>d</t>
        </is>
      </c>
      <c r="R6" s="2" t="inlineStr">
        <is>
          <t>b</t>
        </is>
      </c>
      <c r="S6" s="2" t="inlineStr">
        <is>
          <t>c</t>
        </is>
      </c>
      <c r="T6" s="2" t="inlineStr">
        <is>
          <t>b</t>
        </is>
      </c>
      <c r="U6" s="2" t="inlineStr">
        <is>
          <t>c</t>
        </is>
      </c>
      <c r="V6" s="2" t="inlineStr">
        <is>
          <t>a</t>
        </is>
      </c>
      <c r="W6" s="2" t="inlineStr">
        <is>
          <t>b</t>
        </is>
      </c>
      <c r="X6" s="5">
        <f>IF(IFERROR((H6&amp;"")=(VLOOKUP($G6,'Respuestas correctas'!$A:$Q,2,FALSE)&amp;""),FALSE),10,0)+IF(IFERROR((I6&amp;"")=(VLOOKUP($G6,'Respuestas correctas'!$A:$Q,3,FALSE)&amp;""),FALSE),10,0)+IF(IFERROR((J6&amp;"")=(VLOOKUP($G6,'Respuestas correctas'!$A:$Q,4,FALSE)&amp;""),FALSE),10,0)+IF(IFERROR((K6&amp;"")=(VLOOKUP($G6,'Respuestas correctas'!$A:$Q,5,FALSE)&amp;""),FALSE),10,0)+IF(IFERROR((L6&amp;"")=(VLOOKUP($G6,'Respuestas correctas'!$A:$Q,6,FALSE)&amp;""),FALSE),5,0)+IF(IFERROR((M6&amp;"")=(VLOOKUP($G6,'Respuestas correctas'!$A:$Q,7,FALSE)&amp;""),FALSE),5,0)+IF(IFERROR((N6&amp;"")=(VLOOKUP($G6,'Respuestas correctas'!$A:$Q,8,FALSE)&amp;""),FALSE),5,0)+IF(IFERROR((O6&amp;"")=(VLOOKUP($G6,'Respuestas correctas'!$A:$Q,9,FALSE)&amp;""),FALSE),5,0)+IF(IFERROR((P6&amp;"")=(VLOOKUP($G6,'Respuestas correctas'!$A:$Q,10,FALSE)&amp;""),FALSE),5,0)+IF(IFERROR((Q6&amp;"")=(VLOOKUP($G6,'Respuestas correctas'!$A:$Q,11,FALSE)&amp;""),FALSE),5,0)+IF(IFERROR((R6&amp;"")=(VLOOKUP($G6,'Respuestas correctas'!$A:$Q,12,FALSE)&amp;""),FALSE),5,0)+IF(IFERROR((S6&amp;"")=(VLOOKUP($G6,'Respuestas correctas'!$A:$Q,13,FALSE)&amp;""),FALSE),5,0)+IF(IFERROR((T6&amp;"")=(VLOOKUP($G6,'Respuestas correctas'!$A:$Q,14,FALSE)&amp;""),FALSE),5,0)+IF(IFERROR((U6&amp;"")=(VLOOKUP($G6,'Respuestas correctas'!$A:$Q,15,FALSE)&amp;""),FALSE),5,0)+IF(IFERROR((V6&amp;"")=(VLOOKUP($G6,'Respuestas correctas'!$A:$Q,16,FALSE)&amp;""),FALSE),5,0)+IF(IFERROR((W6&amp;"")=(VLOOKUP($G6,'Respuestas correctas'!$A:$Q,17,FALSE)&amp;""),FALSE),5,0)</f>
        <v/>
      </c>
      <c r="Y6" s="3" t="inlineStr">
        <is>
          <t>-</t>
        </is>
      </c>
    </row>
  </sheetData>
  <autoFilter ref="A1:Y6"/>
  <conditionalFormatting sqref="H2:H6">
    <cfRule type="expression" priority="1" dxfId="0">
      <formula>IFERROR((H2&amp;"")=(VLOOKUP($G2,'Respuestas correctas'!$A:$Q,2,FALSE)&amp;""),FALSE)</formula>
    </cfRule>
  </conditionalFormatting>
  <conditionalFormatting sqref="I2:I6">
    <cfRule type="expression" priority="2" dxfId="0">
      <formula>IFERROR((I2&amp;"")=(VLOOKUP($G2,'Respuestas correctas'!$A:$Q,3,FALSE)&amp;""),FALSE)</formula>
    </cfRule>
  </conditionalFormatting>
  <conditionalFormatting sqref="J2:J6">
    <cfRule type="expression" priority="3" dxfId="0">
      <formula>IFERROR((J2&amp;"")=(VLOOKUP($G2,'Respuestas correctas'!$A:$Q,4,FALSE)&amp;""),FALSE)</formula>
    </cfRule>
  </conditionalFormatting>
  <conditionalFormatting sqref="K2:K6">
    <cfRule type="expression" priority="4" dxfId="0">
      <formula>IFERROR((K2&amp;"")=(VLOOKUP($G2,'Respuestas correctas'!$A:$Q,5,FALSE)&amp;""),FALSE)</formula>
    </cfRule>
  </conditionalFormatting>
  <conditionalFormatting sqref="L2:L6">
    <cfRule type="expression" priority="5" dxfId="0">
      <formula>IFERROR((L2&amp;"")=(VLOOKUP($G2,'Respuestas correctas'!$A:$Q,6,FALSE)&amp;""),FALSE)</formula>
    </cfRule>
  </conditionalFormatting>
  <conditionalFormatting sqref="M2:M6">
    <cfRule type="expression" priority="6" dxfId="0">
      <formula>IFERROR((M2&amp;"")=(VLOOKUP($G2,'Respuestas correctas'!$A:$Q,7,FALSE)&amp;""),FALSE)</formula>
    </cfRule>
  </conditionalFormatting>
  <conditionalFormatting sqref="N2:N6">
    <cfRule type="expression" priority="7" dxfId="0">
      <formula>IFERROR((N2&amp;"")=(VLOOKUP($G2,'Respuestas correctas'!$A:$Q,8,FALSE)&amp;""),FALSE)</formula>
    </cfRule>
  </conditionalFormatting>
  <conditionalFormatting sqref="O2:O6">
    <cfRule type="expression" priority="8" dxfId="0">
      <formula>IFERROR((O2&amp;"")=(VLOOKUP($G2,'Respuestas correctas'!$A:$Q,9,FALSE)&amp;""),FALSE)</formula>
    </cfRule>
  </conditionalFormatting>
  <conditionalFormatting sqref="P2:P6">
    <cfRule type="expression" priority="9" dxfId="0">
      <formula>IFERROR((P2&amp;"")=(VLOOKUP($G2,'Respuestas correctas'!$A:$Q,10,FALSE)&amp;""),FALSE)</formula>
    </cfRule>
  </conditionalFormatting>
  <conditionalFormatting sqref="Q2:Q6">
    <cfRule type="expression" priority="10" dxfId="0">
      <formula>IFERROR((Q2&amp;"")=(VLOOKUP($G2,'Respuestas correctas'!$A:$Q,11,FALSE)&amp;""),FALSE)</formula>
    </cfRule>
  </conditionalFormatting>
  <conditionalFormatting sqref="R2:R6">
    <cfRule type="expression" priority="11" dxfId="0">
      <formula>IFERROR((R2&amp;"")=(VLOOKUP($G2,'Respuestas correctas'!$A:$Q,12,FALSE)&amp;""),FALSE)</formula>
    </cfRule>
  </conditionalFormatting>
  <conditionalFormatting sqref="S2:S6">
    <cfRule type="expression" priority="12" dxfId="0">
      <formula>IFERROR((S2&amp;"")=(VLOOKUP($G2,'Respuestas correctas'!$A:$Q,13,FALSE)&amp;""),FALSE)</formula>
    </cfRule>
  </conditionalFormatting>
  <conditionalFormatting sqref="T2:T6">
    <cfRule type="expression" priority="13" dxfId="0">
      <formula>IFERROR((T2&amp;"")=(VLOOKUP($G2,'Respuestas correctas'!$A:$Q,14,FALSE)&amp;""),FALSE)</formula>
    </cfRule>
  </conditionalFormatting>
  <conditionalFormatting sqref="U2:U6">
    <cfRule type="expression" priority="14" dxfId="0">
      <formula>IFERROR((U2&amp;"")=(VLOOKUP($G2,'Respuestas correctas'!$A:$Q,15,FALSE)&amp;""),FALSE)</formula>
    </cfRule>
  </conditionalFormatting>
  <conditionalFormatting sqref="V2:V6">
    <cfRule type="expression" priority="15" dxfId="0">
      <formula>IFERROR((V2&amp;"")=(VLOOKUP($G2,'Respuestas correctas'!$A:$Q,16,FALSE)&amp;""),FALSE)</formula>
    </cfRule>
  </conditionalFormatting>
  <conditionalFormatting sqref="W2:W6">
    <cfRule type="expression" priority="16" dxfId="0">
      <formula>IFERROR((W2&amp;"")=(VLOOKUP($G2,'Respuestas correctas'!$A:$Q,17,FALSE)&amp;""),FALSE)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1" t="inlineStr">
        <is>
          <t>Versión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P11</t>
        </is>
      </c>
      <c r="M1" s="1" t="inlineStr">
        <is>
          <t>P12</t>
        </is>
      </c>
      <c r="N1" s="1" t="inlineStr">
        <is>
          <t>P13</t>
        </is>
      </c>
      <c r="O1" s="1" t="inlineStr">
        <is>
          <t>P14</t>
        </is>
      </c>
      <c r="P1" s="1" t="inlineStr">
        <is>
          <t>P15</t>
        </is>
      </c>
      <c r="Q1" s="1" t="inlineStr">
        <is>
          <t>P16</t>
        </is>
      </c>
    </row>
    <row r="2">
      <c r="A2" s="2" t="inlineStr">
        <is>
          <t>A</t>
        </is>
      </c>
      <c r="B2" s="2" t="inlineStr">
        <is>
          <t>40</t>
        </is>
      </c>
      <c r="C2" s="2" t="inlineStr">
        <is>
          <t>3</t>
        </is>
      </c>
      <c r="D2" s="2" t="inlineStr">
        <is>
          <t>108</t>
        </is>
      </c>
      <c r="E2" s="2" t="inlineStr">
        <is>
          <t>20</t>
        </is>
      </c>
      <c r="F2" s="2" t="inlineStr">
        <is>
          <t>b</t>
        </is>
      </c>
      <c r="G2" s="2" t="inlineStr">
        <is>
          <t>b</t>
        </is>
      </c>
      <c r="H2" s="2" t="inlineStr">
        <is>
          <t>c</t>
        </is>
      </c>
      <c r="I2" s="2" t="inlineStr">
        <is>
          <t>c</t>
        </is>
      </c>
      <c r="J2" s="2" t="inlineStr">
        <is>
          <t>a</t>
        </is>
      </c>
      <c r="K2" s="2" t="inlineStr">
        <is>
          <t>b</t>
        </is>
      </c>
      <c r="L2" s="2" t="inlineStr">
        <is>
          <t>b</t>
        </is>
      </c>
      <c r="M2" s="2" t="inlineStr">
        <is>
          <t>c</t>
        </is>
      </c>
      <c r="N2" s="2" t="inlineStr">
        <is>
          <t>c</t>
        </is>
      </c>
      <c r="O2" s="2" t="inlineStr">
        <is>
          <t>a</t>
        </is>
      </c>
      <c r="P2" s="2" t="inlineStr">
        <is>
          <t>d</t>
        </is>
      </c>
      <c r="Q2" s="2" t="inlineStr">
        <is>
          <t>c</t>
        </is>
      </c>
    </row>
    <row r="3">
      <c r="A3" s="2" t="inlineStr">
        <is>
          <t>B</t>
        </is>
      </c>
      <c r="B3" s="2" t="inlineStr">
        <is>
          <t>7</t>
        </is>
      </c>
      <c r="C3" s="2" t="inlineStr">
        <is>
          <t>6</t>
        </is>
      </c>
      <c r="D3" s="2" t="inlineStr">
        <is>
          <t>7500</t>
        </is>
      </c>
      <c r="E3" s="2" t="inlineStr">
        <is>
          <t>63</t>
        </is>
      </c>
      <c r="F3" s="2" t="inlineStr">
        <is>
          <t>b</t>
        </is>
      </c>
      <c r="G3" s="2" t="inlineStr">
        <is>
          <t>a</t>
        </is>
      </c>
      <c r="H3" s="2" t="inlineStr">
        <is>
          <t>b</t>
        </is>
      </c>
      <c r="I3" s="2" t="inlineStr">
        <is>
          <t>c</t>
        </is>
      </c>
      <c r="J3" s="2" t="inlineStr">
        <is>
          <t>b</t>
        </is>
      </c>
      <c r="K3" s="2" t="inlineStr">
        <is>
          <t>b</t>
        </is>
      </c>
      <c r="L3" s="2" t="inlineStr">
        <is>
          <t>c</t>
        </is>
      </c>
      <c r="M3" s="2" t="inlineStr">
        <is>
          <t>b</t>
        </is>
      </c>
      <c r="N3" s="2" t="inlineStr">
        <is>
          <t>b</t>
        </is>
      </c>
      <c r="O3" s="2" t="inlineStr">
        <is>
          <t>c</t>
        </is>
      </c>
      <c r="P3" s="2" t="inlineStr">
        <is>
          <t>d</t>
        </is>
      </c>
      <c r="Q3" s="2" t="inlineStr">
        <is>
          <t>c</t>
        </is>
      </c>
    </row>
    <row r="4">
      <c r="A4" s="2" t="inlineStr">
        <is>
          <t>C</t>
        </is>
      </c>
      <c r="B4" s="2" t="inlineStr">
        <is>
          <t>2</t>
        </is>
      </c>
      <c r="C4" s="2" t="inlineStr">
        <is>
          <t>3</t>
        </is>
      </c>
      <c r="D4" s="2" t="inlineStr">
        <is>
          <t>8</t>
        </is>
      </c>
      <c r="E4" s="2" t="inlineStr">
        <is>
          <t>7</t>
        </is>
      </c>
      <c r="F4" s="2" t="inlineStr">
        <is>
          <t>b</t>
        </is>
      </c>
      <c r="G4" s="2" t="inlineStr">
        <is>
          <t>b</t>
        </is>
      </c>
      <c r="H4" s="2" t="inlineStr">
        <is>
          <t>b</t>
        </is>
      </c>
      <c r="I4" s="2" t="inlineStr">
        <is>
          <t>a</t>
        </is>
      </c>
      <c r="J4" s="2" t="inlineStr">
        <is>
          <t>b</t>
        </is>
      </c>
      <c r="K4" s="2" t="inlineStr">
        <is>
          <t>c</t>
        </is>
      </c>
      <c r="L4" s="2" t="inlineStr">
        <is>
          <t>b</t>
        </is>
      </c>
      <c r="M4" s="2" t="inlineStr">
        <is>
          <t>c</t>
        </is>
      </c>
      <c r="N4" s="2" t="inlineStr">
        <is>
          <t>b</t>
        </is>
      </c>
      <c r="O4" s="2" t="inlineStr">
        <is>
          <t>c</t>
        </is>
      </c>
      <c r="P4" s="2" t="inlineStr">
        <is>
          <t>c</t>
        </is>
      </c>
      <c r="Q4" s="2" t="inlineStr">
        <is>
          <t>c</t>
        </is>
      </c>
    </row>
  </sheetData>
  <autoFilter ref="A1:Q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2026-06-13T02:59:51Z</dcterms:created>
  <dcterms:modified xsi:type="dcterms:W3CDTF">2026-06-13T02:59:51Z</dcterms:modified>
</cp:coreProperties>
</file>